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f4da4a51b13a17/Documents/"/>
    </mc:Choice>
  </mc:AlternateContent>
  <xr:revisionPtr revIDLastSave="13" documentId="8_{CF1D544F-813C-41D0-A4DB-5502213C6485}" xr6:coauthVersionLast="47" xr6:coauthVersionMax="47" xr10:uidLastSave="{5C68C9EB-7661-43E4-8237-C663F28F1718}"/>
  <bookViews>
    <workbookView xWindow="-120" yWindow="-120" windowWidth="20730" windowHeight="11040" activeTab="2" xr2:uid="{03D2DD3B-7E04-4B6B-BC18-DD07CBAADFC2}"/>
  </bookViews>
  <sheets>
    <sheet name="EC2_Usage" sheetId="1" r:id="rId1"/>
    <sheet name="S3_Usage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B2" i="3"/>
  <c r="E3" i="2"/>
  <c r="E4" i="2"/>
  <c r="E5" i="2"/>
  <c r="E6" i="2"/>
  <c r="E7" i="2"/>
  <c r="E8" i="2"/>
  <c r="E9" i="2"/>
  <c r="E10" i="2"/>
  <c r="E11" i="2"/>
  <c r="D3" i="2"/>
  <c r="D4" i="2"/>
  <c r="D5" i="2"/>
  <c r="B3" i="3" s="1"/>
  <c r="D6" i="2"/>
  <c r="D7" i="2"/>
  <c r="D8" i="2"/>
  <c r="D9" i="2"/>
  <c r="D10" i="2"/>
  <c r="D11" i="2"/>
  <c r="F3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E2" i="2"/>
  <c r="D2" i="2"/>
  <c r="F2" i="1"/>
  <c r="E2" i="1"/>
  <c r="B4" i="3" l="1"/>
</calcChain>
</file>

<file path=xl/sharedStrings.xml><?xml version="1.0" encoding="utf-8"?>
<sst xmlns="http://schemas.openxmlformats.org/spreadsheetml/2006/main" count="46" uniqueCount="35">
  <si>
    <t>Instance ID</t>
  </si>
  <si>
    <t>Instance Type</t>
  </si>
  <si>
    <t>Hours Used</t>
  </si>
  <si>
    <t>Cost per Hour</t>
  </si>
  <si>
    <t>Monthly Cost</t>
  </si>
  <si>
    <t>Status</t>
  </si>
  <si>
    <t>i-07a64f2c96807de51</t>
  </si>
  <si>
    <t>t2.micro</t>
  </si>
  <si>
    <t>Bucket Name</t>
  </si>
  <si>
    <t>Storage Used (GB)</t>
  </si>
  <si>
    <t>Cost per GB</t>
  </si>
  <si>
    <t>cloud-cost-tracker-demo</t>
  </si>
  <si>
    <t>Resource</t>
  </si>
  <si>
    <t>EC2</t>
  </si>
  <si>
    <t>S3</t>
  </si>
  <si>
    <t>Total</t>
  </si>
  <si>
    <t>i-082a231ba9c5e023b</t>
  </si>
  <si>
    <t>i-07277fc88a1976d2d</t>
  </si>
  <si>
    <t>i-055dcf057069e17dd</t>
  </si>
  <si>
    <t>i-0d2b7e57e2ea62b28</t>
  </si>
  <si>
    <t>i-0eb4112c20c6a0f9c</t>
  </si>
  <si>
    <t>i-09a99bec773687d22</t>
  </si>
  <si>
    <t>i-036212ae1ae0c57e4</t>
  </si>
  <si>
    <t>i-0ab9d16a90043c50f</t>
  </si>
  <si>
    <t>i-0f6807367177d003f</t>
  </si>
  <si>
    <t>demo1doc</t>
  </si>
  <si>
    <t>logs-storage</t>
  </si>
  <si>
    <t>temp-files</t>
  </si>
  <si>
    <t>reports</t>
  </si>
  <si>
    <t>archives</t>
  </si>
  <si>
    <t>test-data</t>
  </si>
  <si>
    <t>user-files</t>
  </si>
  <si>
    <t>user-uploads</t>
  </si>
  <si>
    <t>docs</t>
  </si>
  <si>
    <t>Total Monthly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</si>
</sst>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Cost by Resource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567147856517932E-2"/>
          <c:y val="5.800925925925926E-2"/>
          <c:w val="0.87416907261592303"/>
          <c:h val="0.709591353164187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 Monthly 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Summary!$A$2:$A$3</c:f>
              <c:strCache>
                <c:ptCount val="2"/>
                <c:pt idx="0">
                  <c:v>EC2</c:v>
                </c:pt>
                <c:pt idx="1">
                  <c:v>S3</c:v>
                </c:pt>
              </c:strCache>
            </c:strRef>
          </c:cat>
          <c:val>
            <c:numRef>
              <c:f>Summary!$B$2:$B$3</c:f>
              <c:numCache>
                <c:formatCode>General</c:formatCode>
                <c:ptCount val="2"/>
                <c:pt idx="0">
                  <c:v>0.74239999999999995</c:v>
                </c:pt>
                <c:pt idx="1">
                  <c:v>0.92459999999999998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C-4E74-907E-DB0E9625D3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5634927"/>
        <c:axId val="65635407"/>
      </c:barChart>
      <c:catAx>
        <c:axId val="6563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5407"/>
        <c:crosses val="autoZero"/>
        <c:auto val="1"/>
        <c:lblAlgn val="ctr"/>
        <c:lblOffset val="100"/>
        <c:noMultiLvlLbl val="0"/>
      </c:catAx>
      <c:valAx>
        <c:axId val="6563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Cost Distribution (EC2 vs S3)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Total Monthly 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DA-4236-8B6B-F2F9BDACAF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DA-4236-8B6B-F2F9BDACAFA2}"/>
              </c:ext>
            </c:extLst>
          </c:dPt>
          <c:cat>
            <c:strRef>
              <c:f>Summary!$A$2:$A$3</c:f>
              <c:strCache>
                <c:ptCount val="2"/>
                <c:pt idx="0">
                  <c:v>EC2</c:v>
                </c:pt>
                <c:pt idx="1">
                  <c:v>S3</c:v>
                </c:pt>
              </c:strCache>
            </c:strRef>
          </c:cat>
          <c:val>
            <c:numRef>
              <c:f>Summary!$B$2:$B$3</c:f>
              <c:numCache>
                <c:formatCode>General</c:formatCode>
                <c:ptCount val="2"/>
                <c:pt idx="0">
                  <c:v>0.74239999999999995</c:v>
                </c:pt>
                <c:pt idx="1">
                  <c:v>0.92459999999999998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D-44E6-B8FA-8AE28BE81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5</xdr:row>
      <xdr:rowOff>4762</xdr:rowOff>
    </xdr:from>
    <xdr:to>
      <xdr:col>4</xdr:col>
      <xdr:colOff>419100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9F1B1-CC2E-D73D-5F6F-5FA5D5BD8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5</xdr:row>
      <xdr:rowOff>66675</xdr:rowOff>
    </xdr:from>
    <xdr:to>
      <xdr:col>12</xdr:col>
      <xdr:colOff>419100</xdr:colOff>
      <xdr:row>19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DDA7B5-84E7-BF25-D35C-0902B6279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97F1-ADC7-4A41-8BBE-19CC2BC26383}">
  <dimension ref="A1:F11"/>
  <sheetViews>
    <sheetView workbookViewId="0">
      <selection activeCell="G8" sqref="G8"/>
    </sheetView>
  </sheetViews>
  <sheetFormatPr defaultRowHeight="15" x14ac:dyDescent="0.25"/>
  <cols>
    <col min="1" max="1" width="23.28515625" style="2" customWidth="1"/>
    <col min="2" max="2" width="17.140625" style="2" customWidth="1"/>
    <col min="3" max="3" width="15.7109375" style="2" customWidth="1"/>
    <col min="4" max="5" width="18.5703125" style="2" customWidth="1"/>
    <col min="6" max="6" width="32" style="2" customWidth="1"/>
    <col min="7" max="16384" width="9.140625" style="2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10</v>
      </c>
      <c r="D2" s="2">
        <v>1.1599999999999999E-2</v>
      </c>
      <c r="E2" s="2">
        <f>C2*D2</f>
        <v>0.11599999999999999</v>
      </c>
      <c r="F2" s="2" t="str">
        <f>IF(C2=0,"Idle","Active")</f>
        <v>Active</v>
      </c>
    </row>
    <row r="3" spans="1:6" x14ac:dyDescent="0.25">
      <c r="A3" s="2" t="s">
        <v>16</v>
      </c>
      <c r="B3" s="2" t="s">
        <v>7</v>
      </c>
      <c r="C3" s="2">
        <v>5</v>
      </c>
      <c r="D3" s="2">
        <v>1.1599999999999999E-2</v>
      </c>
      <c r="E3" s="2">
        <f t="shared" ref="E3:E11" si="0">C3*D3</f>
        <v>5.7999999999999996E-2</v>
      </c>
      <c r="F3" s="2" t="str">
        <f t="shared" ref="F3:F11" si="1">IF(C3=0,"Idle","Active")</f>
        <v>Active</v>
      </c>
    </row>
    <row r="4" spans="1:6" x14ac:dyDescent="0.25">
      <c r="A4" s="2" t="s">
        <v>17</v>
      </c>
      <c r="B4" s="2" t="s">
        <v>7</v>
      </c>
      <c r="C4" s="2">
        <v>0</v>
      </c>
      <c r="D4" s="2">
        <v>1.1599999999999999E-2</v>
      </c>
      <c r="E4" s="2">
        <f t="shared" si="0"/>
        <v>0</v>
      </c>
      <c r="F4" s="2" t="str">
        <f t="shared" si="1"/>
        <v>Idle</v>
      </c>
    </row>
    <row r="5" spans="1:6" x14ac:dyDescent="0.25">
      <c r="A5" s="2" t="s">
        <v>18</v>
      </c>
      <c r="B5" s="2" t="s">
        <v>7</v>
      </c>
      <c r="C5" s="2">
        <v>2</v>
      </c>
      <c r="D5" s="2">
        <v>1.1599999999999999E-2</v>
      </c>
      <c r="E5" s="2">
        <f t="shared" si="0"/>
        <v>2.3199999999999998E-2</v>
      </c>
      <c r="F5" s="2" t="str">
        <f t="shared" si="1"/>
        <v>Active</v>
      </c>
    </row>
    <row r="6" spans="1:6" x14ac:dyDescent="0.25">
      <c r="A6" s="2" t="s">
        <v>19</v>
      </c>
      <c r="B6" s="2" t="s">
        <v>7</v>
      </c>
      <c r="C6" s="2">
        <v>0</v>
      </c>
      <c r="D6" s="2">
        <v>1.1599999999999999E-2</v>
      </c>
      <c r="E6" s="2">
        <f t="shared" si="0"/>
        <v>0</v>
      </c>
      <c r="F6" s="2" t="str">
        <f t="shared" si="1"/>
        <v>Idle</v>
      </c>
    </row>
    <row r="7" spans="1:6" x14ac:dyDescent="0.25">
      <c r="A7" s="2" t="s">
        <v>20</v>
      </c>
      <c r="B7" s="2" t="s">
        <v>7</v>
      </c>
      <c r="C7" s="2">
        <v>10</v>
      </c>
      <c r="D7" s="2">
        <v>1.1599999999999999E-2</v>
      </c>
      <c r="E7" s="2">
        <f t="shared" si="0"/>
        <v>0.11599999999999999</v>
      </c>
      <c r="F7" s="2" t="str">
        <f t="shared" si="1"/>
        <v>Active</v>
      </c>
    </row>
    <row r="8" spans="1:6" x14ac:dyDescent="0.25">
      <c r="A8" s="2" t="s">
        <v>21</v>
      </c>
      <c r="B8" s="2" t="s">
        <v>7</v>
      </c>
      <c r="C8" s="2">
        <v>20</v>
      </c>
      <c r="D8" s="2">
        <v>1.1599999999999999E-2</v>
      </c>
      <c r="E8" s="2">
        <f t="shared" si="0"/>
        <v>0.23199999999999998</v>
      </c>
      <c r="F8" s="2" t="str">
        <f t="shared" si="1"/>
        <v>Active</v>
      </c>
    </row>
    <row r="9" spans="1:6" x14ac:dyDescent="0.25">
      <c r="A9" s="2" t="s">
        <v>24</v>
      </c>
      <c r="B9" s="2" t="s">
        <v>7</v>
      </c>
      <c r="C9" s="2">
        <v>9</v>
      </c>
      <c r="D9" s="2">
        <v>1.1599999999999999E-2</v>
      </c>
      <c r="E9" s="2">
        <f t="shared" si="0"/>
        <v>0.10439999999999999</v>
      </c>
      <c r="F9" s="2" t="str">
        <f t="shared" si="1"/>
        <v>Active</v>
      </c>
    </row>
    <row r="10" spans="1:6" x14ac:dyDescent="0.25">
      <c r="A10" s="2" t="s">
        <v>22</v>
      </c>
      <c r="B10" s="2" t="s">
        <v>7</v>
      </c>
      <c r="C10" s="2">
        <v>2</v>
      </c>
      <c r="D10" s="2">
        <v>1.1599999999999999E-2</v>
      </c>
      <c r="E10" s="2">
        <f t="shared" si="0"/>
        <v>2.3199999999999998E-2</v>
      </c>
      <c r="F10" s="2" t="str">
        <f t="shared" si="1"/>
        <v>Active</v>
      </c>
    </row>
    <row r="11" spans="1:6" x14ac:dyDescent="0.25">
      <c r="A11" s="2" t="s">
        <v>23</v>
      </c>
      <c r="B11" s="2" t="s">
        <v>7</v>
      </c>
      <c r="C11" s="2">
        <v>6</v>
      </c>
      <c r="D11" s="2">
        <v>1.1599999999999999E-2</v>
      </c>
      <c r="E11" s="2">
        <f t="shared" si="0"/>
        <v>6.9599999999999995E-2</v>
      </c>
      <c r="F11" s="2" t="str">
        <f t="shared" si="1"/>
        <v>Active</v>
      </c>
    </row>
  </sheetData>
  <conditionalFormatting sqref="F2:F11">
    <cfRule type="containsText" dxfId="1" priority="1" operator="containsText" text="Idle">
      <formula>NOT(ISERROR(SEARCH("Idle",F2)))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4283-CBBA-4FE9-83E5-959061C4D98F}">
  <dimension ref="A1:E11"/>
  <sheetViews>
    <sheetView workbookViewId="0">
      <selection activeCell="G13" sqref="G13"/>
    </sheetView>
  </sheetViews>
  <sheetFormatPr defaultRowHeight="15" x14ac:dyDescent="0.25"/>
  <cols>
    <col min="1" max="1" width="24" customWidth="1"/>
    <col min="2" max="2" width="20.42578125" customWidth="1"/>
    <col min="3" max="3" width="27" customWidth="1"/>
    <col min="4" max="4" width="26.28515625" customWidth="1"/>
    <col min="5" max="5" width="24.7109375" customWidth="1"/>
  </cols>
  <sheetData>
    <row r="1" spans="1:5" s="1" customFormat="1" x14ac:dyDescent="0.25">
      <c r="A1" s="1" t="s">
        <v>8</v>
      </c>
      <c r="B1" s="1" t="s">
        <v>9</v>
      </c>
      <c r="C1" s="1" t="s">
        <v>10</v>
      </c>
      <c r="D1" s="1" t="s">
        <v>4</v>
      </c>
      <c r="E1" s="1" t="s">
        <v>5</v>
      </c>
    </row>
    <row r="2" spans="1:5" s="2" customFormat="1" x14ac:dyDescent="0.25">
      <c r="A2" s="2" t="s">
        <v>11</v>
      </c>
      <c r="B2" s="2">
        <v>3.8</v>
      </c>
      <c r="C2" s="2">
        <v>2.3E-2</v>
      </c>
      <c r="D2" s="2">
        <f>B2*C2</f>
        <v>8.7399999999999992E-2</v>
      </c>
      <c r="E2" s="2" t="str">
        <f>IF(B2=0,"Unused","Active")</f>
        <v>Active</v>
      </c>
    </row>
    <row r="3" spans="1:5" x14ac:dyDescent="0.25">
      <c r="A3" s="2" t="s">
        <v>25</v>
      </c>
      <c r="B3" s="2">
        <v>4.5</v>
      </c>
      <c r="C3" s="2">
        <v>2.3E-2</v>
      </c>
      <c r="D3" s="2">
        <f t="shared" ref="D3:D11" si="0">B3*C3</f>
        <v>0.10349999999999999</v>
      </c>
      <c r="E3" s="2" t="str">
        <f t="shared" ref="E3:E11" si="1">IF(B3=0,"Unused","Active")</f>
        <v>Active</v>
      </c>
    </row>
    <row r="4" spans="1:5" x14ac:dyDescent="0.25">
      <c r="A4" s="2" t="s">
        <v>26</v>
      </c>
      <c r="B4" s="2">
        <v>2</v>
      </c>
      <c r="C4" s="2">
        <v>2.3E-2</v>
      </c>
      <c r="D4" s="2">
        <f t="shared" si="0"/>
        <v>4.5999999999999999E-2</v>
      </c>
      <c r="E4" s="2" t="str">
        <f t="shared" si="1"/>
        <v>Active</v>
      </c>
    </row>
    <row r="5" spans="1:5" x14ac:dyDescent="0.25">
      <c r="A5" s="2" t="s">
        <v>27</v>
      </c>
      <c r="B5" s="2">
        <v>0</v>
      </c>
      <c r="C5" s="2">
        <v>2.3E-2</v>
      </c>
      <c r="D5" s="2">
        <f t="shared" si="0"/>
        <v>0</v>
      </c>
      <c r="E5" s="2" t="str">
        <f t="shared" si="1"/>
        <v>Unused</v>
      </c>
    </row>
    <row r="6" spans="1:5" x14ac:dyDescent="0.25">
      <c r="A6" s="2" t="s">
        <v>28</v>
      </c>
      <c r="B6" s="2">
        <v>1.5</v>
      </c>
      <c r="C6" s="2">
        <v>2.3E-2</v>
      </c>
      <c r="D6" s="2">
        <f t="shared" si="0"/>
        <v>3.4500000000000003E-2</v>
      </c>
      <c r="E6" s="2" t="str">
        <f t="shared" si="1"/>
        <v>Active</v>
      </c>
    </row>
    <row r="7" spans="1:5" x14ac:dyDescent="0.25">
      <c r="A7" s="2" t="s">
        <v>29</v>
      </c>
      <c r="B7" s="2">
        <v>6.7</v>
      </c>
      <c r="C7" s="2">
        <v>2.3E-2</v>
      </c>
      <c r="D7" s="2">
        <f t="shared" si="0"/>
        <v>0.15410000000000001</v>
      </c>
      <c r="E7" s="2" t="str">
        <f t="shared" si="1"/>
        <v>Active</v>
      </c>
    </row>
    <row r="8" spans="1:5" x14ac:dyDescent="0.25">
      <c r="A8" s="2" t="s">
        <v>30</v>
      </c>
      <c r="B8" s="2">
        <v>3.8</v>
      </c>
      <c r="C8" s="2">
        <v>2.3E-2</v>
      </c>
      <c r="D8" s="2">
        <f t="shared" si="0"/>
        <v>8.7399999999999992E-2</v>
      </c>
      <c r="E8" s="2" t="str">
        <f t="shared" si="1"/>
        <v>Active</v>
      </c>
    </row>
    <row r="9" spans="1:5" x14ac:dyDescent="0.25">
      <c r="A9" s="2" t="s">
        <v>31</v>
      </c>
      <c r="B9" s="2">
        <v>0</v>
      </c>
      <c r="C9" s="2">
        <v>2.3E-2</v>
      </c>
      <c r="D9" s="2">
        <f t="shared" si="0"/>
        <v>0</v>
      </c>
      <c r="E9" s="2" t="str">
        <f t="shared" si="1"/>
        <v>Unused</v>
      </c>
    </row>
    <row r="10" spans="1:5" x14ac:dyDescent="0.25">
      <c r="A10" s="2" t="s">
        <v>32</v>
      </c>
      <c r="B10" s="2">
        <v>7.9</v>
      </c>
      <c r="C10" s="2">
        <v>2.3E-2</v>
      </c>
      <c r="D10" s="2">
        <f t="shared" si="0"/>
        <v>0.1817</v>
      </c>
      <c r="E10" s="2" t="str">
        <f t="shared" si="1"/>
        <v>Active</v>
      </c>
    </row>
    <row r="11" spans="1:5" x14ac:dyDescent="0.25">
      <c r="A11" s="2" t="s">
        <v>33</v>
      </c>
      <c r="B11" s="2">
        <v>10</v>
      </c>
      <c r="C11" s="2">
        <v>2.3E-2</v>
      </c>
      <c r="D11" s="2">
        <f t="shared" si="0"/>
        <v>0.22999999999999998</v>
      </c>
      <c r="E11" s="2" t="str">
        <f t="shared" si="1"/>
        <v>Active</v>
      </c>
    </row>
  </sheetData>
  <conditionalFormatting sqref="E2:E11">
    <cfRule type="containsText" dxfId="0" priority="1" operator="containsText" text="Unused">
      <formula>NOT(ISERROR(SEARCH("Unused",E2)))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2527-0A49-4511-9E8C-7899F5D8B466}">
  <dimension ref="A1:B4"/>
  <sheetViews>
    <sheetView tabSelected="1" workbookViewId="0">
      <selection activeCell="G5" sqref="G5"/>
    </sheetView>
  </sheetViews>
  <sheetFormatPr defaultRowHeight="15" x14ac:dyDescent="0.25"/>
  <cols>
    <col min="1" max="1" width="26.140625" style="2" customWidth="1"/>
    <col min="2" max="2" width="48.140625" style="2" customWidth="1"/>
    <col min="3" max="16384" width="9.140625" style="2"/>
  </cols>
  <sheetData>
    <row r="1" spans="1:2" s="1" customFormat="1" x14ac:dyDescent="0.25">
      <c r="A1" s="1" t="s">
        <v>12</v>
      </c>
      <c r="B1" s="1" t="s">
        <v>34</v>
      </c>
    </row>
    <row r="2" spans="1:2" x14ac:dyDescent="0.25">
      <c r="A2" s="2" t="s">
        <v>13</v>
      </c>
      <c r="B2" s="2">
        <f>SUM(EC2_Usage!E2:E11)</f>
        <v>0.74239999999999995</v>
      </c>
    </row>
    <row r="3" spans="1:2" x14ac:dyDescent="0.25">
      <c r="A3" s="2" t="s">
        <v>14</v>
      </c>
      <c r="B3" s="2">
        <f>SUM(S3_Usage!D2:D11)</f>
        <v>0.92459999999999998</v>
      </c>
    </row>
    <row r="4" spans="1:2" x14ac:dyDescent="0.25">
      <c r="A4" s="2" t="s">
        <v>15</v>
      </c>
      <c r="B4" s="2">
        <f>SUM(B2:B3)</f>
        <v>1.6669999999999998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EC2_Usage</vt:lpstr>
      <vt:lpstr>S3_Usage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Pawar</dc:creator>
  <cp:lastModifiedBy>Siddhi Pawar</cp:lastModifiedBy>
  <dcterms:created xsi:type="dcterms:W3CDTF">2026-02-05T14:35:24Z</dcterms:created>
  <dcterms:modified xsi:type="dcterms:W3CDTF">2026-02-05T22:41:38Z</dcterms:modified>
</cp:coreProperties>
</file>